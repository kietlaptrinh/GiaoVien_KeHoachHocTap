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8340"/>
  </bookViews>
  <sheets>
    <sheet name="Khung CT" sheetId="1" r:id="rId1"/>
    <sheet name="Ngay nghi" sheetId="2" r:id="rId2"/>
  </sheets>
  <calcPr calcId="162913"/>
</workbook>
</file>

<file path=xl/calcChain.xml><?xml version="1.0" encoding="utf-8"?>
<calcChain xmlns="http://schemas.openxmlformats.org/spreadsheetml/2006/main">
  <c r="D2" i="1" l="1"/>
  <c r="E2" i="1" s="1"/>
  <c r="F2" i="1" s="1"/>
  <c r="D3" i="1" s="1"/>
  <c r="E3" i="1" s="1"/>
  <c r="F3" i="1" s="1"/>
  <c r="D4" i="1" s="1"/>
  <c r="E4" i="1" s="1"/>
  <c r="F4" i="1" s="1"/>
  <c r="D5" i="1" s="1"/>
  <c r="E5" i="1" s="1"/>
  <c r="F5" i="1" s="1"/>
  <c r="D6" i="1" s="1"/>
  <c r="E6" i="1" s="1"/>
  <c r="F6" i="1" s="1"/>
  <c r="D7" i="1" s="1"/>
  <c r="E7" i="1" s="1"/>
  <c r="F7" i="1" s="1"/>
  <c r="D8" i="1" s="1"/>
  <c r="E8" i="1" s="1"/>
  <c r="F8" i="1" s="1"/>
  <c r="D9" i="1" s="1"/>
  <c r="E9" i="1" s="1"/>
  <c r="F9" i="1" s="1"/>
  <c r="D10" i="1" s="1"/>
  <c r="E10" i="1" s="1"/>
  <c r="F10" i="1" s="1"/>
  <c r="D11" i="1" s="1"/>
  <c r="E11" i="1" s="1"/>
  <c r="F11" i="1" s="1"/>
  <c r="D12" i="1" s="1"/>
  <c r="E12" i="1" s="1"/>
  <c r="F12" i="1" s="1"/>
  <c r="D13" i="1" s="1"/>
  <c r="E13" i="1" s="1"/>
  <c r="F13" i="1" s="1"/>
  <c r="D14" i="1" s="1"/>
  <c r="E14" i="1" s="1"/>
  <c r="F14" i="1" s="1"/>
  <c r="D15" i="1" s="1"/>
  <c r="E15" i="1" s="1"/>
  <c r="F15" i="1" s="1"/>
  <c r="D16" i="1" s="1"/>
  <c r="E16" i="1" s="1"/>
  <c r="F16" i="1" s="1"/>
  <c r="D17" i="1" s="1"/>
  <c r="E17" i="1" s="1"/>
  <c r="F17" i="1" s="1"/>
  <c r="D18" i="1" s="1"/>
  <c r="E18" i="1" s="1"/>
  <c r="F18" i="1" s="1"/>
  <c r="D19" i="1" s="1"/>
  <c r="E19" i="1" s="1"/>
  <c r="F19" i="1" s="1"/>
  <c r="D20" i="1" s="1"/>
  <c r="E20" i="1" s="1"/>
  <c r="F20" i="1" s="1"/>
</calcChain>
</file>

<file path=xl/sharedStrings.xml><?xml version="1.0" encoding="utf-8"?>
<sst xmlns="http://schemas.openxmlformats.org/spreadsheetml/2006/main" count="36" uniqueCount="34">
  <si>
    <t>Stt</t>
  </si>
  <si>
    <t>Môn học</t>
  </si>
  <si>
    <t>Số tiết học</t>
  </si>
  <si>
    <t>Từ ngày</t>
  </si>
  <si>
    <t>Đến ngày</t>
  </si>
  <si>
    <t>Thi hết môn</t>
  </si>
  <si>
    <t>STT</t>
  </si>
  <si>
    <t>Tên Ngày</t>
  </si>
  <si>
    <t>NgayNghi_List</t>
  </si>
  <si>
    <t>Ngày khai giảng</t>
  </si>
  <si>
    <t>Tết Dương lịch</t>
  </si>
  <si>
    <t>Tết Nguyên Dán</t>
  </si>
  <si>
    <t>Giỗ Tổ Hùng Vương</t>
  </si>
  <si>
    <t>Ngày Chiến Thắng</t>
  </si>
  <si>
    <t>Ngày Quốc Khánh</t>
  </si>
  <si>
    <t>Tên môn học 01</t>
  </si>
  <si>
    <t>Tên môn học 02</t>
  </si>
  <si>
    <t>Tên môn học 03</t>
  </si>
  <si>
    <t>Tên môn học 04</t>
  </si>
  <si>
    <t>Tên môn học 05</t>
  </si>
  <si>
    <t>Tên môn học 06</t>
  </si>
  <si>
    <t>Tên môn học 07</t>
  </si>
  <si>
    <t>Tên môn học 08</t>
  </si>
  <si>
    <t>Tên môn học 09</t>
  </si>
  <si>
    <t>Tên môn học 10</t>
  </si>
  <si>
    <t>Tên môn học 11</t>
  </si>
  <si>
    <t>Tên môn học 12</t>
  </si>
  <si>
    <t>Tên môn học 13</t>
  </si>
  <si>
    <t>Tên môn học 14</t>
  </si>
  <si>
    <t>Tên môn học 15</t>
  </si>
  <si>
    <t>Tên môn học 16</t>
  </si>
  <si>
    <t>Tên môn học 17</t>
  </si>
  <si>
    <t>Tên môn học 18</t>
  </si>
  <si>
    <t>Tên môn học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</si>
</sst>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/>
    <xf numFmtId="14" fontId="1" fillId="0" borderId="1" xfId="0" applyNumberFormat="1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14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K16" sqref="K16"/>
    </sheetView>
  </sheetViews>
  <sheetFormatPr defaultRowHeight="15" x14ac:dyDescent="0.25"/>
  <cols>
    <col min="1" max="1" width="3.5703125" bestFit="1" customWidth="1"/>
    <col min="2" max="2" width="42.42578125" bestFit="1" customWidth="1"/>
    <col min="3" max="3" width="10.42578125" bestFit="1" customWidth="1"/>
    <col min="4" max="5" width="13.5703125" bestFit="1" customWidth="1"/>
    <col min="6" max="6" width="13.5703125" style="1" bestFit="1" customWidth="1"/>
  </cols>
  <sheetData>
    <row r="1" spans="1:6" ht="15.75" customHeight="1" x14ac:dyDescent="0.25">
      <c r="A1" s="6" t="s">
        <v>0</v>
      </c>
      <c r="B1" s="6" t="s">
        <v>1</v>
      </c>
      <c r="C1" s="6" t="s">
        <v>2</v>
      </c>
      <c r="D1" s="11" t="s">
        <v>3</v>
      </c>
      <c r="E1" s="11" t="s">
        <v>4</v>
      </c>
      <c r="F1" s="12" t="s">
        <v>5</v>
      </c>
    </row>
    <row r="2" spans="1:6" ht="15.75" customHeight="1" x14ac:dyDescent="0.25">
      <c r="A2" s="8">
        <v>1</v>
      </c>
      <c r="B2" s="8" t="s">
        <v>15</v>
      </c>
      <c r="C2" s="7">
        <v>60</v>
      </c>
      <c r="D2" s="10" t="str">
        <f>"S "&amp;TEXT(WORKDAY.INTL('Ngay nghi'!$C$2,1,"0000011",'Ngay nghi'!$F$2:$F$19),"d/m/yyyy")</f>
        <v>S 11/9/2025</v>
      </c>
      <c r="E2" s="10" t="str">
        <f>IF(MOD(IF(LEFT(D2,1)="S",0,1)+ROUNDUP(C2/5,0)-1,2)=0,"S ","C ")&amp;TEXT(WORKDAY.INTL(DATEVALUE(MID(D2,3,20)),QUOTIENT(IF(LEFT(D2,1)="S",0,1)+ROUNDUP(C2/5,0)-1,2),"0000011",'Ngay nghi'!$F$2:$F$19),"d/m/yyyy")</f>
        <v>C 18/9/2025</v>
      </c>
      <c r="F2" s="13" t="str">
        <f>IF(LEFT(E2,1)="S","C "&amp;TEXT(DATEVALUE(MID(E2,3,20)),"d/m/yyyy"),"S "&amp;TEXT(WORKDAY.INTL(DATEVALUE(MID(E2,3,20)),1,"0000011",'Ngay nghi'!$F$2:$F$19),"d/m/yyyy"))</f>
        <v>S 19/9/2025</v>
      </c>
    </row>
    <row r="3" spans="1:6" ht="15.75" customHeight="1" x14ac:dyDescent="0.25">
      <c r="A3" s="8">
        <v>2</v>
      </c>
      <c r="B3" s="8" t="s">
        <v>16</v>
      </c>
      <c r="C3" s="7">
        <v>55</v>
      </c>
      <c r="D3" s="9" t="str">
        <f>IF(LEFT(F2,1)="S","C "&amp;TEXT(DATEVALUE(MID(F2,3,20)),"d/m/yyyy"),"S "&amp;TEXT(WORKDAY.INTL(DATEVALUE(MID(F2,3,20)),1,"0000011",'Ngay nghi'!$F$2:$F$19),"d/m/yyyy"))</f>
        <v>C 19/9/2025</v>
      </c>
      <c r="E3" s="9" t="str">
        <f>IF(MOD(IF(LEFT(D3,1)="S",0,1)+ROUNDUP(C3/5,0)-1,2)=0,"S ","C ")&amp;TEXT(WORKDAY.INTL(DATEVALUE(MID(D3,3,20)),QUOTIENT(IF(LEFT(D3,1)="S",0,1)+ROUNDUP(C3/5,0)-1,2),"0000011",'Ngay nghi'!$F$2:$F$19),"d/m/yyyy")</f>
        <v>C 26/9/2025</v>
      </c>
      <c r="F3" s="13" t="str">
        <f>IF(LEFT(E3,1)="S","C "&amp;TEXT(DATEVALUE(MID(E3,3,20)),"d/m/yyyy"),"S "&amp;TEXT(WORKDAY.INTL(DATEVALUE(MID(E3,3,20)),1,"0000011",'Ngay nghi'!$F$2:$F$19),"d/m/yyyy"))</f>
        <v>S 29/9/2025</v>
      </c>
    </row>
    <row r="4" spans="1:6" ht="15.75" customHeight="1" x14ac:dyDescent="0.25">
      <c r="A4" s="8">
        <v>3</v>
      </c>
      <c r="B4" s="8" t="s">
        <v>17</v>
      </c>
      <c r="C4" s="7">
        <v>55</v>
      </c>
      <c r="D4" s="9" t="str">
        <f>IF(LEFT(F3,1)="S","C "&amp;TEXT(DATEVALUE(MID(F3,3,20)),"d/m/yyyy"),"S "&amp;TEXT(WORKDAY.INTL(DATEVALUE(MID(F3,3,20)),1,"0000011",'Ngay nghi'!$F$2:$F$19),"d/m/yyyy"))</f>
        <v>C 29/9/2025</v>
      </c>
      <c r="E4" s="9" t="str">
        <f>IF(MOD(IF(LEFT(D4,1)="S",0,1)+ROUNDUP(C4/5,0)-1,2)=0,"S ","C ")&amp;TEXT(WORKDAY.INTL(DATEVALUE(MID(D4,3,20)),QUOTIENT(IF(LEFT(D4,1)="S",0,1)+ROUNDUP(C4/5,0)-1,2),"0000011",'Ngay nghi'!$F$2:$F$19),"d/m/yyyy")</f>
        <v>C 6/10/2025</v>
      </c>
      <c r="F4" s="7" t="str">
        <f>IF(LEFT(E4,1)="S","C "&amp;TEXT(DATEVALUE(MID(E4,3,20)),"d/m/yyyy"),"S "&amp;TEXT(WORKDAY.INTL(DATEVALUE(MID(E4,3,20)),1,"0000011",'Ngay nghi'!$F$2:$F$19),"d/m/yyyy"))</f>
        <v>S 7/10/2025</v>
      </c>
    </row>
    <row r="5" spans="1:6" ht="15.75" customHeight="1" x14ac:dyDescent="0.25">
      <c r="A5" s="8">
        <v>4</v>
      </c>
      <c r="B5" s="8" t="s">
        <v>18</v>
      </c>
      <c r="C5" s="7">
        <v>40</v>
      </c>
      <c r="D5" s="9" t="str">
        <f>IF(LEFT(F4,1)="S","C "&amp;TEXT(DATEVALUE(MID(F4,3,20)),"d/m/yyyy"),"S "&amp;TEXT(WORKDAY.INTL(DATEVALUE(MID(F4,3,20)),1,"0000011",'Ngay nghi'!$F$2:$F$19),"d/m/yyyy"))</f>
        <v>C 7/10/2025</v>
      </c>
      <c r="E5" s="9" t="str">
        <f>IF(MOD(IF(LEFT(D5,1)="S",0,1)+ROUNDUP(C5/5,0)-1,2)=0,"S ","C ")&amp;TEXT(WORKDAY.INTL(DATEVALUE(MID(D5,3,20)),QUOTIENT(IF(LEFT(D5,1)="S",0,1)+ROUNDUP(C5/5,0)-1,2),"0000011",'Ngay nghi'!$F$2:$F$19),"d/m/yyyy")</f>
        <v>S 13/10/2025</v>
      </c>
      <c r="F5" s="7" t="str">
        <f>IF(LEFT(E5,1)="S","C "&amp;TEXT(DATEVALUE(MID(E5,3,20)),"d/m/yyyy"),"S "&amp;TEXT(WORKDAY.INTL(DATEVALUE(MID(E5,3,20)),1,"0000011",'Ngay nghi'!$F$2:$F$19),"d/m/yyyy"))</f>
        <v>C 13/10/2025</v>
      </c>
    </row>
    <row r="6" spans="1:6" ht="15.75" customHeight="1" x14ac:dyDescent="0.25">
      <c r="A6" s="8">
        <v>5</v>
      </c>
      <c r="B6" s="8" t="s">
        <v>19</v>
      </c>
      <c r="C6" s="7">
        <v>60</v>
      </c>
      <c r="D6" s="9" t="str">
        <f>IF(LEFT(F5,1)="S","C "&amp;TEXT(DATEVALUE(MID(F5,3,20)),"d/m/yyyy"),"S "&amp;TEXT(WORKDAY.INTL(DATEVALUE(MID(F5,3,20)),1,"0000011",'Ngay nghi'!$F$2:$F$19),"d/m/yyyy"))</f>
        <v>S 14/10/2025</v>
      </c>
      <c r="E6" s="9" t="str">
        <f>IF(MOD(IF(LEFT(D6,1)="S",0,1)+ROUNDUP(C6/5,0)-1,2)=0,"S ","C ")&amp;TEXT(WORKDAY.INTL(DATEVALUE(MID(D6,3,20)),QUOTIENT(IF(LEFT(D6,1)="S",0,1)+ROUNDUP(C6/5,0)-1,2),"0000011",'Ngay nghi'!$F$2:$F$19),"d/m/yyyy")</f>
        <v>C 21/10/2025</v>
      </c>
      <c r="F6" s="7" t="str">
        <f>IF(LEFT(E6,1)="S","C "&amp;TEXT(DATEVALUE(MID(E6,3,20)),"d/m/yyyy"),"S "&amp;TEXT(WORKDAY.INTL(DATEVALUE(MID(E6,3,20)),1,"0000011",'Ngay nghi'!$F$2:$F$19),"d/m/yyyy"))</f>
        <v>S 22/10/2025</v>
      </c>
    </row>
    <row r="7" spans="1:6" ht="15.75" customHeight="1" x14ac:dyDescent="0.25">
      <c r="A7" s="8">
        <v>6</v>
      </c>
      <c r="B7" s="8" t="s">
        <v>20</v>
      </c>
      <c r="C7" s="7">
        <v>70</v>
      </c>
      <c r="D7" s="9" t="str">
        <f>IF(LEFT(F6,1)="S","C "&amp;TEXT(DATEVALUE(MID(F6,3,20)),"d/m/yyyy"),"S "&amp;TEXT(WORKDAY.INTL(DATEVALUE(MID(F6,3,20)),1,"0000011",'Ngay nghi'!$F$2:$F$19),"d/m/yyyy"))</f>
        <v>C 22/10/2025</v>
      </c>
      <c r="E7" s="9" t="str">
        <f>IF(MOD(IF(LEFT(D7,1)="S",0,1)+ROUNDUP(C7/5,0)-1,2)=0,"S ","C ")&amp;TEXT(WORKDAY.INTL(DATEVALUE(MID(D7,3,20)),QUOTIENT(IF(LEFT(D7,1)="S",0,1)+ROUNDUP(C7/5,0)-1,2),"0000011",'Ngay nghi'!$F$2:$F$19),"d/m/yyyy")</f>
        <v>S 31/10/2025</v>
      </c>
      <c r="F7" s="7" t="str">
        <f>IF(LEFT(E7,1)="S","C "&amp;TEXT(DATEVALUE(MID(E7,3,20)),"d/m/yyyy"),"S "&amp;TEXT(WORKDAY.INTL(DATEVALUE(MID(E7,3,20)),1,"0000011",'Ngay nghi'!$F$2:$F$19),"d/m/yyyy"))</f>
        <v>C 31/10/2025</v>
      </c>
    </row>
    <row r="8" spans="1:6" ht="15.75" customHeight="1" x14ac:dyDescent="0.25">
      <c r="A8" s="8">
        <v>7</v>
      </c>
      <c r="B8" s="8" t="s">
        <v>21</v>
      </c>
      <c r="C8" s="7">
        <v>45</v>
      </c>
      <c r="D8" s="9" t="str">
        <f>IF(LEFT(F7,1)="S","C "&amp;TEXT(DATEVALUE(MID(F7,3,20)),"d/m/yyyy"),"S "&amp;TEXT(WORKDAY.INTL(DATEVALUE(MID(F7,3,20)),1,"0000011",'Ngay nghi'!$F$2:$F$19),"d/m/yyyy"))</f>
        <v>S 3/11/2025</v>
      </c>
      <c r="E8" s="9" t="str">
        <f>IF(MOD(IF(LEFT(D8,1)="S",0,1)+ROUNDUP(C8/5,0)-1,2)=0,"S ","C ")&amp;TEXT(WORKDAY.INTL(DATEVALUE(MID(D8,3,20)),QUOTIENT(IF(LEFT(D8,1)="S",0,1)+ROUNDUP(C8/5,0)-1,2),"0000011",'Ngay nghi'!$F$2:$F$19),"d/m/yyyy")</f>
        <v>S 7/11/2025</v>
      </c>
      <c r="F8" s="7" t="str">
        <f>IF(LEFT(E8,1)="S","C "&amp;TEXT(DATEVALUE(MID(E8,3,20)),"d/m/yyyy"),"S "&amp;TEXT(WORKDAY.INTL(DATEVALUE(MID(E8,3,20)),1,"0000011",'Ngay nghi'!$F$2:$F$19),"d/m/yyyy"))</f>
        <v>C 7/11/2025</v>
      </c>
    </row>
    <row r="9" spans="1:6" ht="15.75" customHeight="1" x14ac:dyDescent="0.25">
      <c r="A9" s="8">
        <v>8</v>
      </c>
      <c r="B9" s="8" t="s">
        <v>22</v>
      </c>
      <c r="C9" s="7">
        <v>45</v>
      </c>
      <c r="D9" s="9" t="str">
        <f>IF(LEFT(F8,1)="S","C "&amp;TEXT(DATEVALUE(MID(F8,3,20)),"d/m/yyyy"),"S "&amp;TEXT(WORKDAY.INTL(DATEVALUE(MID(F8,3,20)),1,"0000011",'Ngay nghi'!$F$2:$F$19),"d/m/yyyy"))</f>
        <v>S 10/11/2025</v>
      </c>
      <c r="E9" s="9" t="str">
        <f>IF(MOD(IF(LEFT(D9,1)="S",0,1)+ROUNDUP(C9/5,0)-1,2)=0,"S ","C ")&amp;TEXT(WORKDAY.INTL(DATEVALUE(MID(D9,3,20)),QUOTIENT(IF(LEFT(D9,1)="S",0,1)+ROUNDUP(C9/5,0)-1,2),"0000011",'Ngay nghi'!$F$2:$F$19),"d/m/yyyy")</f>
        <v>S 14/11/2025</v>
      </c>
      <c r="F9" s="7" t="str">
        <f>IF(LEFT(E9,1)="S","C "&amp;TEXT(DATEVALUE(MID(E9,3,20)),"d/m/yyyy"),"S "&amp;TEXT(WORKDAY.INTL(DATEVALUE(MID(E9,3,20)),1,"0000011",'Ngay nghi'!$F$2:$F$19),"d/m/yyyy"))</f>
        <v>C 14/11/2025</v>
      </c>
    </row>
    <row r="10" spans="1:6" ht="15.75" customHeight="1" x14ac:dyDescent="0.25">
      <c r="A10" s="8">
        <v>9</v>
      </c>
      <c r="B10" s="8" t="s">
        <v>23</v>
      </c>
      <c r="C10" s="7">
        <v>40</v>
      </c>
      <c r="D10" s="9" t="str">
        <f>IF(LEFT(F9,1)="S","C "&amp;TEXT(DATEVALUE(MID(F9,3,20)),"d/m/yyyy"),"S "&amp;TEXT(WORKDAY.INTL(DATEVALUE(MID(F9,3,20)),1,"0000011",'Ngay nghi'!$F$2:$F$19),"d/m/yyyy"))</f>
        <v>S 17/11/2025</v>
      </c>
      <c r="E10" s="9" t="str">
        <f>IF(MOD(IF(LEFT(D10,1)="S",0,1)+ROUNDUP(C10/5,0)-1,2)=0,"S ","C ")&amp;TEXT(WORKDAY.INTL(DATEVALUE(MID(D10,3,20)),QUOTIENT(IF(LEFT(D10,1)="S",0,1)+ROUNDUP(C10/5,0)-1,2),"0000011",'Ngay nghi'!$F$2:$F$19),"d/m/yyyy")</f>
        <v>C 20/11/2025</v>
      </c>
      <c r="F10" s="7" t="str">
        <f>IF(LEFT(E10,1)="S","C "&amp;TEXT(DATEVALUE(MID(E10,3,20)),"d/m/yyyy"),"S "&amp;TEXT(WORKDAY.INTL(DATEVALUE(MID(E10,3,20)),1,"0000011",'Ngay nghi'!$F$2:$F$19),"d/m/yyyy"))</f>
        <v>S 21/11/2025</v>
      </c>
    </row>
    <row r="11" spans="1:6" ht="15.75" customHeight="1" x14ac:dyDescent="0.25">
      <c r="A11" s="8">
        <v>10</v>
      </c>
      <c r="B11" s="8" t="s">
        <v>24</v>
      </c>
      <c r="C11" s="7">
        <v>45</v>
      </c>
      <c r="D11" s="9" t="str">
        <f>IF(LEFT(F10,1)="S","C "&amp;TEXT(DATEVALUE(MID(F10,3,20)),"d/m/yyyy"),"S "&amp;TEXT(WORKDAY.INTL(DATEVALUE(MID(F10,3,20)),1,"0000011",'Ngay nghi'!$F$2:$F$19),"d/m/yyyy"))</f>
        <v>C 21/11/2025</v>
      </c>
      <c r="E11" s="9" t="str">
        <f>IF(MOD(IF(LEFT(D11,1)="S",0,1)+ROUNDUP(C11/5,0)-1,2)=0,"S ","C ")&amp;TEXT(WORKDAY.INTL(DATEVALUE(MID(D11,3,20)),QUOTIENT(IF(LEFT(D11,1)="S",0,1)+ROUNDUP(C11/5,0)-1,2),"0000011",'Ngay nghi'!$F$2:$F$19),"d/m/yyyy")</f>
        <v>C 27/11/2025</v>
      </c>
      <c r="F11" s="7" t="str">
        <f>IF(LEFT(E11,1)="S","C "&amp;TEXT(DATEVALUE(MID(E11,3,20)),"d/m/yyyy"),"S "&amp;TEXT(WORKDAY.INTL(DATEVALUE(MID(E11,3,20)),1,"0000011",'Ngay nghi'!$F$2:$F$19),"d/m/yyyy"))</f>
        <v>S 28/11/2025</v>
      </c>
    </row>
    <row r="12" spans="1:6" ht="15.75" customHeight="1" x14ac:dyDescent="0.25">
      <c r="A12" s="8">
        <v>11</v>
      </c>
      <c r="B12" s="8" t="s">
        <v>25</v>
      </c>
      <c r="C12" s="7">
        <v>70</v>
      </c>
      <c r="D12" s="9" t="str">
        <f>IF(LEFT(F11,1)="S","C "&amp;TEXT(DATEVALUE(MID(F11,3,20)),"d/m/yyyy"),"S "&amp;TEXT(WORKDAY.INTL(DATEVALUE(MID(F11,3,20)),1,"0000011",'Ngay nghi'!$F$2:$F$19),"d/m/yyyy"))</f>
        <v>C 28/11/2025</v>
      </c>
      <c r="E12" s="9" t="str">
        <f>IF(MOD(IF(LEFT(D12,1)="S",0,1)+ROUNDUP(C12/5,0)-1,2)=0,"S ","C ")&amp;TEXT(WORKDAY.INTL(DATEVALUE(MID(D12,3,20)),QUOTIENT(IF(LEFT(D12,1)="S",0,1)+ROUNDUP(C12/5,0)-1,2),"0000011",'Ngay nghi'!$F$2:$F$19),"d/m/yyyy")</f>
        <v>S 9/12/2025</v>
      </c>
      <c r="F12" s="7" t="str">
        <f>IF(LEFT(E12,1)="S","C "&amp;TEXT(DATEVALUE(MID(E12,3,20)),"d/m/yyyy"),"S "&amp;TEXT(WORKDAY.INTL(DATEVALUE(MID(E12,3,20)),1,"0000011",'Ngay nghi'!$F$2:$F$19),"d/m/yyyy"))</f>
        <v>C 9/12/2025</v>
      </c>
    </row>
    <row r="13" spans="1:6" ht="15.75" customHeight="1" x14ac:dyDescent="0.25">
      <c r="A13" s="8">
        <v>12</v>
      </c>
      <c r="B13" s="8" t="s">
        <v>26</v>
      </c>
      <c r="C13" s="7">
        <v>35</v>
      </c>
      <c r="D13" s="9" t="str">
        <f>IF(LEFT(F12,1)="S","C "&amp;TEXT(DATEVALUE(MID(F12,3,20)),"d/m/yyyy"),"S "&amp;TEXT(WORKDAY.INTL(DATEVALUE(MID(F12,3,20)),1,"0000011",'Ngay nghi'!$F$2:$F$19),"d/m/yyyy"))</f>
        <v>S 10/12/2025</v>
      </c>
      <c r="E13" s="9" t="str">
        <f>IF(MOD(IF(LEFT(D13,1)="S",0,1)+ROUNDUP(C13/5,0)-1,2)=0,"S ","C ")&amp;TEXT(WORKDAY.INTL(DATEVALUE(MID(D13,3,20)),QUOTIENT(IF(LEFT(D13,1)="S",0,1)+ROUNDUP(C13/5,0)-1,2),"0000011",'Ngay nghi'!$F$2:$F$19),"d/m/yyyy")</f>
        <v>S 15/12/2025</v>
      </c>
      <c r="F13" s="7" t="str">
        <f>IF(LEFT(E13,1)="S","C "&amp;TEXT(DATEVALUE(MID(E13,3,20)),"d/m/yyyy"),"S "&amp;TEXT(WORKDAY.INTL(DATEVALUE(MID(E13,3,20)),1,"0000011",'Ngay nghi'!$F$2:$F$19),"d/m/yyyy"))</f>
        <v>C 15/12/2025</v>
      </c>
    </row>
    <row r="14" spans="1:6" ht="15.75" customHeight="1" x14ac:dyDescent="0.25">
      <c r="A14" s="8">
        <v>13</v>
      </c>
      <c r="B14" s="8" t="s">
        <v>27</v>
      </c>
      <c r="C14" s="7">
        <v>50</v>
      </c>
      <c r="D14" s="9" t="str">
        <f>IF(LEFT(F13,1)="S","C "&amp;TEXT(DATEVALUE(MID(F13,3,20)),"d/m/yyyy"),"S "&amp;TEXT(WORKDAY.INTL(DATEVALUE(MID(F13,3,20)),1,"0000011",'Ngay nghi'!$F$2:$F$19),"d/m/yyyy"))</f>
        <v>S 16/12/2025</v>
      </c>
      <c r="E14" s="9" t="str">
        <f>IF(MOD(IF(LEFT(D14,1)="S",0,1)+ROUNDUP(C14/5,0)-1,2)=0,"S ","C ")&amp;TEXT(WORKDAY.INTL(DATEVALUE(MID(D14,3,20)),QUOTIENT(IF(LEFT(D14,1)="S",0,1)+ROUNDUP(C14/5,0)-1,2),"0000011",'Ngay nghi'!$F$2:$F$19),"d/m/yyyy")</f>
        <v>C 22/12/2025</v>
      </c>
      <c r="F14" s="7" t="str">
        <f>IF(LEFT(E14,1)="S","C "&amp;TEXT(DATEVALUE(MID(E14,3,20)),"d/m/yyyy"),"S "&amp;TEXT(WORKDAY.INTL(DATEVALUE(MID(E14,3,20)),1,"0000011",'Ngay nghi'!$F$2:$F$19),"d/m/yyyy"))</f>
        <v>S 23/12/2025</v>
      </c>
    </row>
    <row r="15" spans="1:6" ht="15.75" customHeight="1" x14ac:dyDescent="0.25">
      <c r="A15" s="8">
        <v>14</v>
      </c>
      <c r="B15" s="8" t="s">
        <v>28</v>
      </c>
      <c r="C15" s="7">
        <v>45</v>
      </c>
      <c r="D15" s="9" t="str">
        <f>IF(LEFT(F14,1)="S","C "&amp;TEXT(DATEVALUE(MID(F14,3,20)),"d/m/yyyy"),"S "&amp;TEXT(WORKDAY.INTL(DATEVALUE(MID(F14,3,20)),1,"0000011",'Ngay nghi'!$F$2:$F$19),"d/m/yyyy"))</f>
        <v>C 23/12/2025</v>
      </c>
      <c r="E15" s="9" t="str">
        <f>IF(MOD(IF(LEFT(D15,1)="S",0,1)+ROUNDUP(C15/5,0)-1,2)=0,"S ","C ")&amp;TEXT(WORKDAY.INTL(DATEVALUE(MID(D15,3,20)),QUOTIENT(IF(LEFT(D15,1)="S",0,1)+ROUNDUP(C15/5,0)-1,2),"0000011",'Ngay nghi'!$F$2:$F$19),"d/m/yyyy")</f>
        <v>C 29/12/2025</v>
      </c>
      <c r="F15" s="7" t="str">
        <f>IF(LEFT(E15,1)="S","C "&amp;TEXT(DATEVALUE(MID(E15,3,20)),"d/m/yyyy"),"S "&amp;TEXT(WORKDAY.INTL(DATEVALUE(MID(E15,3,20)),1,"0000011",'Ngay nghi'!$F$2:$F$19),"d/m/yyyy"))</f>
        <v>S 30/12/2025</v>
      </c>
    </row>
    <row r="16" spans="1:6" ht="15.75" customHeight="1" x14ac:dyDescent="0.25">
      <c r="A16" s="8">
        <v>15</v>
      </c>
      <c r="B16" s="8" t="s">
        <v>29</v>
      </c>
      <c r="C16" s="7">
        <v>40</v>
      </c>
      <c r="D16" s="9" t="str">
        <f>IF(LEFT(F15,1)="S","C "&amp;TEXT(DATEVALUE(MID(F15,3,20)),"d/m/yyyy"),"S "&amp;TEXT(WORKDAY.INTL(DATEVALUE(MID(F15,3,20)),1,"0000011",'Ngay nghi'!$F$2:$F$19),"d/m/yyyy"))</f>
        <v>C 30/12/2025</v>
      </c>
      <c r="E16" s="9" t="str">
        <f>IF(MOD(IF(LEFT(D16,1)="S",0,1)+ROUNDUP(C16/5,0)-1,2)=0,"S ","C ")&amp;TEXT(WORKDAY.INTL(DATEVALUE(MID(D16,3,20)),QUOTIENT(IF(LEFT(D16,1)="S",0,1)+ROUNDUP(C16/5,0)-1,2),"0000011",'Ngay nghi'!$F$2:$F$19),"d/m/yyyy")</f>
        <v>S 6/1/2026</v>
      </c>
      <c r="F16" s="7" t="str">
        <f>IF(LEFT(E16,1)="S","C "&amp;TEXT(DATEVALUE(MID(E16,3,20)),"d/m/yyyy"),"S "&amp;TEXT(WORKDAY.INTL(DATEVALUE(MID(E16,3,20)),1,"0000011",'Ngay nghi'!$F$2:$F$19),"d/m/yyyy"))</f>
        <v>C 6/1/2026</v>
      </c>
    </row>
    <row r="17" spans="1:6" ht="15.75" customHeight="1" x14ac:dyDescent="0.25">
      <c r="A17" s="8">
        <v>16</v>
      </c>
      <c r="B17" s="8" t="s">
        <v>30</v>
      </c>
      <c r="C17" s="7">
        <v>35</v>
      </c>
      <c r="D17" s="9" t="str">
        <f>IF(LEFT(F16,1)="S","C "&amp;TEXT(DATEVALUE(MID(F16,3,20)),"d/m/yyyy"),"S "&amp;TEXT(WORKDAY.INTL(DATEVALUE(MID(F16,3,20)),1,"0000011",'Ngay nghi'!$F$2:$F$19),"d/m/yyyy"))</f>
        <v>S 7/1/2026</v>
      </c>
      <c r="E17" s="9" t="str">
        <f>IF(MOD(IF(LEFT(D17,1)="S",0,1)+ROUNDUP(C17/5,0)-1,2)=0,"S ","C ")&amp;TEXT(WORKDAY.INTL(DATEVALUE(MID(D17,3,20)),QUOTIENT(IF(LEFT(D17,1)="S",0,1)+ROUNDUP(C17/5,0)-1,2),"0000011",'Ngay nghi'!$F$2:$F$19),"d/m/yyyy")</f>
        <v>S 12/1/2026</v>
      </c>
      <c r="F17" s="7" t="str">
        <f>IF(LEFT(E17,1)="S","C "&amp;TEXT(DATEVALUE(MID(E17,3,20)),"d/m/yyyy"),"S "&amp;TEXT(WORKDAY.INTL(DATEVALUE(MID(E17,3,20)),1,"0000011",'Ngay nghi'!$F$2:$F$19),"d/m/yyyy"))</f>
        <v>C 12/1/2026</v>
      </c>
    </row>
    <row r="18" spans="1:6" ht="15.75" customHeight="1" x14ac:dyDescent="0.25">
      <c r="A18" s="8">
        <v>17</v>
      </c>
      <c r="B18" s="8" t="s">
        <v>31</v>
      </c>
      <c r="C18" s="7">
        <v>30</v>
      </c>
      <c r="D18" s="9" t="str">
        <f>IF(LEFT(F17,1)="S","C "&amp;TEXT(DATEVALUE(MID(F17,3,20)),"d/m/yyyy"),"S "&amp;TEXT(WORKDAY.INTL(DATEVALUE(MID(F17,3,20)),1,"0000011",'Ngay nghi'!$F$2:$F$19),"d/m/yyyy"))</f>
        <v>S 13/1/2026</v>
      </c>
      <c r="E18" s="9" t="str">
        <f>IF(MOD(IF(LEFT(D18,1)="S",0,1)+ROUNDUP(C18/5,0)-1,2)=0,"S ","C ")&amp;TEXT(WORKDAY.INTL(DATEVALUE(MID(D18,3,20)),QUOTIENT(IF(LEFT(D18,1)="S",0,1)+ROUNDUP(C18/5,0)-1,2),"0000011",'Ngay nghi'!$F$2:$F$19),"d/m/yyyy")</f>
        <v>C 15/1/2026</v>
      </c>
      <c r="F18" s="7" t="str">
        <f>IF(LEFT(E18,1)="S","C "&amp;TEXT(DATEVALUE(MID(E18,3,20)),"d/m/yyyy"),"S "&amp;TEXT(WORKDAY.INTL(DATEVALUE(MID(E18,3,20)),1,"0000011",'Ngay nghi'!$F$2:$F$19),"d/m/yyyy"))</f>
        <v>S 16/1/2026</v>
      </c>
    </row>
    <row r="19" spans="1:6" ht="15.75" customHeight="1" x14ac:dyDescent="0.25">
      <c r="A19" s="8">
        <v>18</v>
      </c>
      <c r="B19" s="8" t="s">
        <v>32</v>
      </c>
      <c r="C19" s="7">
        <v>35</v>
      </c>
      <c r="D19" s="9" t="str">
        <f>IF(LEFT(F18,1)="S","C "&amp;TEXT(DATEVALUE(MID(F18,3,20)),"d/m/yyyy"),"S "&amp;TEXT(WORKDAY.INTL(DATEVALUE(MID(F18,3,20)),1,"0000011",'Ngay nghi'!$F$2:$F$19),"d/m/yyyy"))</f>
        <v>C 16/1/2026</v>
      </c>
      <c r="E19" s="9" t="str">
        <f>IF(MOD(IF(LEFT(D19,1)="S",0,1)+ROUNDUP(C19/5,0)-1,2)=0,"S ","C ")&amp;TEXT(WORKDAY.INTL(DATEVALUE(MID(D19,3,20)),QUOTIENT(IF(LEFT(D19,1)="S",0,1)+ROUNDUP(C19/5,0)-1,2),"0000011",'Ngay nghi'!$F$2:$F$19),"d/m/yyyy")</f>
        <v>C 21/1/2026</v>
      </c>
      <c r="F19" s="7" t="str">
        <f>IF(LEFT(E19,1)="S","C "&amp;TEXT(DATEVALUE(MID(E19,3,20)),"d/m/yyyy"),"S "&amp;TEXT(WORKDAY.INTL(DATEVALUE(MID(E19,3,20)),1,"0000011",'Ngay nghi'!$F$2:$F$19),"d/m/yyyy"))</f>
        <v>S 22/1/2026</v>
      </c>
    </row>
    <row r="20" spans="1:6" ht="15.75" customHeight="1" x14ac:dyDescent="0.25">
      <c r="A20" s="8">
        <v>19</v>
      </c>
      <c r="B20" s="8" t="s">
        <v>33</v>
      </c>
      <c r="C20" s="7">
        <v>40</v>
      </c>
      <c r="D20" s="9" t="str">
        <f>IF(LEFT(F19,1)="S","C "&amp;TEXT(DATEVALUE(MID(F19,3,20)),"d/m/yyyy"),"S "&amp;TEXT(WORKDAY.INTL(DATEVALUE(MID(F19,3,20)),1,"0000011",'Ngay nghi'!$F$2:$F$19),"d/m/yyyy"))</f>
        <v>C 22/1/2026</v>
      </c>
      <c r="E20" s="9" t="str">
        <f>IF(MOD(IF(LEFT(D20,1)="S",0,1)+ROUNDUP(C20/5,0)-1,2)=0,"S ","C ")&amp;TEXT(WORKDAY.INTL(DATEVALUE(MID(D20,3,20)),QUOTIENT(IF(LEFT(D20,1)="S",0,1)+ROUNDUP(C20/5,0)-1,2),"0000011",'Ngay nghi'!$F$2:$F$19),"d/m/yyyy")</f>
        <v>S 28/1/2026</v>
      </c>
      <c r="F20" s="7" t="str">
        <f>IF(LEFT(E20,1)="S","C "&amp;TEXT(DATEVALUE(MID(E20,3,20)),"d/m/yyyy"),"S "&amp;TEXT(WORKDAY.INTL(DATEVALUE(MID(E20,3,20)),1,"0000011",'Ngay nghi'!$F$2:$F$19),"d/m/yyyy"))</f>
        <v>C 28/1/2026</v>
      </c>
    </row>
  </sheetData>
  <pageMargins left="0.7" right="0.7" top="0.75" bottom="0.75" header="0.3" footer="0.3"/>
  <pageSetup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K25" sqref="K25"/>
    </sheetView>
  </sheetViews>
  <sheetFormatPr defaultRowHeight="15" x14ac:dyDescent="0.25"/>
  <cols>
    <col min="1" max="1" width="6.28515625" bestFit="1" customWidth="1"/>
    <col min="2" max="2" width="24" bestFit="1" customWidth="1"/>
    <col min="3" max="3" width="14.28515625" bestFit="1" customWidth="1"/>
    <col min="4" max="4" width="13" bestFit="1" customWidth="1"/>
    <col min="6" max="6" width="19.28515625" bestFit="1" customWidth="1"/>
  </cols>
  <sheetData>
    <row r="1" spans="1:6" ht="18.75" customHeight="1" x14ac:dyDescent="0.3">
      <c r="A1" s="4" t="s">
        <v>6</v>
      </c>
      <c r="B1" s="4" t="s">
        <v>7</v>
      </c>
      <c r="C1" s="4" t="s">
        <v>3</v>
      </c>
      <c r="D1" s="4" t="s">
        <v>4</v>
      </c>
      <c r="F1" s="14" t="s">
        <v>8</v>
      </c>
    </row>
    <row r="2" spans="1:6" ht="18.75" customHeight="1" x14ac:dyDescent="0.3">
      <c r="A2" s="5">
        <v>1</v>
      </c>
      <c r="B2" s="4" t="s">
        <v>9</v>
      </c>
      <c r="C2" s="3">
        <v>45910</v>
      </c>
      <c r="D2" s="3">
        <v>45910</v>
      </c>
      <c r="F2" s="15">
        <v>45910</v>
      </c>
    </row>
    <row r="3" spans="1:6" ht="18.75" customHeight="1" x14ac:dyDescent="0.3">
      <c r="A3" s="5">
        <v>1</v>
      </c>
      <c r="B3" s="2" t="s">
        <v>10</v>
      </c>
      <c r="C3" s="3">
        <v>46023</v>
      </c>
      <c r="D3" s="3">
        <v>46023</v>
      </c>
      <c r="F3" s="15">
        <v>46023</v>
      </c>
    </row>
    <row r="4" spans="1:6" ht="18.75" customHeight="1" x14ac:dyDescent="0.3">
      <c r="A4" s="5">
        <v>2</v>
      </c>
      <c r="B4" s="2" t="s">
        <v>11</v>
      </c>
      <c r="C4" s="3">
        <v>46065</v>
      </c>
      <c r="D4" s="3">
        <v>46075</v>
      </c>
      <c r="F4" s="15">
        <v>46065</v>
      </c>
    </row>
    <row r="5" spans="1:6" ht="18.75" customHeight="1" x14ac:dyDescent="0.3">
      <c r="A5" s="5">
        <v>3</v>
      </c>
      <c r="B5" s="2" t="s">
        <v>12</v>
      </c>
      <c r="C5" s="3">
        <v>46139</v>
      </c>
      <c r="D5" s="3">
        <v>46139</v>
      </c>
      <c r="F5" s="15">
        <v>46066</v>
      </c>
    </row>
    <row r="6" spans="1:6" ht="18.75" customHeight="1" x14ac:dyDescent="0.3">
      <c r="A6" s="5">
        <v>4</v>
      </c>
      <c r="B6" s="2" t="s">
        <v>13</v>
      </c>
      <c r="C6" s="3">
        <v>46142</v>
      </c>
      <c r="D6" s="3">
        <v>46142</v>
      </c>
      <c r="F6" s="15">
        <v>46067</v>
      </c>
    </row>
    <row r="7" spans="1:6" ht="18.75" customHeight="1" x14ac:dyDescent="0.3">
      <c r="A7" s="5">
        <v>5</v>
      </c>
      <c r="B7" s="2" t="s">
        <v>14</v>
      </c>
      <c r="C7" s="3">
        <v>46265</v>
      </c>
      <c r="D7" s="3">
        <v>46267</v>
      </c>
      <c r="F7" s="15">
        <v>46068</v>
      </c>
    </row>
    <row r="8" spans="1:6" ht="15.75" x14ac:dyDescent="0.25">
      <c r="F8" s="15">
        <v>46069</v>
      </c>
    </row>
    <row r="9" spans="1:6" ht="15.75" x14ac:dyDescent="0.25">
      <c r="F9" s="15">
        <v>46070</v>
      </c>
    </row>
    <row r="10" spans="1:6" ht="15.75" x14ac:dyDescent="0.25">
      <c r="F10" s="15">
        <v>46071</v>
      </c>
    </row>
    <row r="11" spans="1:6" ht="15.75" x14ac:dyDescent="0.25">
      <c r="F11" s="15">
        <v>46072</v>
      </c>
    </row>
    <row r="12" spans="1:6" ht="15.75" x14ac:dyDescent="0.25">
      <c r="F12" s="15">
        <v>46073</v>
      </c>
    </row>
    <row r="13" spans="1:6" ht="15.75" x14ac:dyDescent="0.25">
      <c r="F13" s="15">
        <v>46074</v>
      </c>
    </row>
    <row r="14" spans="1:6" ht="15.75" x14ac:dyDescent="0.25">
      <c r="F14" s="15">
        <v>46075</v>
      </c>
    </row>
    <row r="15" spans="1:6" ht="15.75" x14ac:dyDescent="0.25">
      <c r="F15" s="15">
        <v>46139</v>
      </c>
    </row>
    <row r="16" spans="1:6" ht="15.75" x14ac:dyDescent="0.25">
      <c r="F16" s="15">
        <v>46142</v>
      </c>
    </row>
    <row r="17" spans="6:6" ht="15.75" x14ac:dyDescent="0.25">
      <c r="F17" s="15">
        <v>46265</v>
      </c>
    </row>
    <row r="18" spans="6:6" ht="15.75" x14ac:dyDescent="0.25">
      <c r="F18" s="15">
        <v>46266</v>
      </c>
    </row>
    <row r="19" spans="6:6" ht="15.75" x14ac:dyDescent="0.25">
      <c r="F19" s="15">
        <v>46267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Khung CT</vt:lpstr>
      <vt:lpstr>Ngay nghi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2026-07-27T07:33:44Z</dcterms:created>
  <dcterms:modified xsi:type="dcterms:W3CDTF">2026-10-24T12:54:38Z</dcterms:modified>
</cp:coreProperties>
</file>